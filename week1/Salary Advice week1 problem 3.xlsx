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Saqulainmmca1\"/>
    </mc:Choice>
  </mc:AlternateContent>
  <xr:revisionPtr revIDLastSave="0" documentId="13_ncr:1_{726827AB-1501-46AE-A360-09F0D6616B98}" xr6:coauthVersionLast="47" xr6:coauthVersionMax="47" xr10:uidLastSave="{00000000-0000-0000-0000-000000000000}"/>
  <bookViews>
    <workbookView xWindow="-120" yWindow="-120" windowWidth="29040" windowHeight="15720" xr2:uid="{E7AC8BA4-3F15-4463-B756-CCF7CC10B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D12" i="1"/>
  <c r="B12" i="1"/>
  <c r="D10" i="1"/>
  <c r="D8" i="1"/>
  <c r="B9" i="1"/>
  <c r="B8" i="1"/>
</calcChain>
</file>

<file path=xl/sharedStrings.xml><?xml version="1.0" encoding="utf-8"?>
<sst xmlns="http://schemas.openxmlformats.org/spreadsheetml/2006/main" count="23" uniqueCount="23">
  <si>
    <t>SALARY ADVICE FOR MARCH 2016</t>
  </si>
  <si>
    <t>EMPLOYEE</t>
  </si>
  <si>
    <t>T MARONGO</t>
  </si>
  <si>
    <t>STAFF NO</t>
  </si>
  <si>
    <t>DATE</t>
  </si>
  <si>
    <t>NEXT PAY DATE</t>
  </si>
  <si>
    <t>BASIC SALARY p.a.</t>
  </si>
  <si>
    <t>004</t>
  </si>
  <si>
    <t>INCOME</t>
  </si>
  <si>
    <t>AMMOUNT</t>
  </si>
  <si>
    <t>DEDUCTIONS</t>
  </si>
  <si>
    <t>AMOUNT</t>
  </si>
  <si>
    <t>Basic Salary</t>
  </si>
  <si>
    <t>Pension @8%</t>
  </si>
  <si>
    <t>Housing Subsidy</t>
  </si>
  <si>
    <t>P.A.Y.E.</t>
  </si>
  <si>
    <t>Vehicle Allowance</t>
  </si>
  <si>
    <t>Medical Aid</t>
  </si>
  <si>
    <t>Gross Income</t>
  </si>
  <si>
    <t>U.I.F.</t>
  </si>
  <si>
    <t>Bond Repayment</t>
  </si>
  <si>
    <t>Total Deductions</t>
  </si>
  <si>
    <t xml:space="preserve">Net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</si>
</sst>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0" borderId="0" xfId="0" applyFon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3943-4E3F-4F2B-92F8-9CEA20F09724}">
  <sheetPr>
    <pageSetUpPr fitToPage="1"/>
  </sheetPr>
  <dimension ref="A1:F13"/>
  <sheetViews>
    <sheetView tabSelected="1" view="pageLayout" topLeftCell="A28" zoomScale="115" zoomScaleNormal="100" zoomScalePageLayoutView="115" workbookViewId="0">
      <selection activeCell="B8" sqref="B8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6.28515625" bestFit="1" customWidth="1"/>
    <col min="4" max="4" width="14.7109375" bestFit="1" customWidth="1"/>
    <col min="5" max="5" width="9.5703125" bestFit="1" customWidth="1"/>
  </cols>
  <sheetData>
    <row r="1" spans="1:6" ht="18.75" x14ac:dyDescent="0.3">
      <c r="A1" s="7" t="s">
        <v>0</v>
      </c>
      <c r="B1" s="7"/>
      <c r="C1" s="7"/>
      <c r="D1" s="7"/>
      <c r="E1" s="7"/>
      <c r="F1" s="7"/>
    </row>
    <row r="3" spans="1:6" x14ac:dyDescent="0.25">
      <c r="A3" s="3" t="s">
        <v>1</v>
      </c>
      <c r="B3" t="s">
        <v>2</v>
      </c>
      <c r="D3" s="3" t="s">
        <v>3</v>
      </c>
      <c r="E3" s="2" t="s">
        <v>7</v>
      </c>
    </row>
    <row r="4" spans="1:6" x14ac:dyDescent="0.25">
      <c r="A4" s="3" t="s">
        <v>4</v>
      </c>
      <c r="B4" s="1">
        <v>42460</v>
      </c>
      <c r="D4" s="3" t="s">
        <v>5</v>
      </c>
      <c r="E4" s="1">
        <v>42490</v>
      </c>
    </row>
    <row r="5" spans="1:6" x14ac:dyDescent="0.25">
      <c r="A5" s="3" t="s">
        <v>6</v>
      </c>
      <c r="B5" s="5">
        <v>31200</v>
      </c>
    </row>
    <row r="7" spans="1:6" x14ac:dyDescent="0.25">
      <c r="A7" s="6" t="s">
        <v>8</v>
      </c>
      <c r="B7" s="6" t="s">
        <v>9</v>
      </c>
      <c r="C7" s="6" t="s">
        <v>10</v>
      </c>
      <c r="D7" s="6" t="s">
        <v>11</v>
      </c>
    </row>
    <row r="8" spans="1:6" x14ac:dyDescent="0.25">
      <c r="A8" s="4" t="s">
        <v>12</v>
      </c>
      <c r="B8" s="5">
        <f>B5/12</f>
        <v>2600</v>
      </c>
      <c r="C8" t="s">
        <v>13</v>
      </c>
      <c r="D8" s="5">
        <f>B8*8%</f>
        <v>208</v>
      </c>
    </row>
    <row r="9" spans="1:6" x14ac:dyDescent="0.25">
      <c r="A9" s="4" t="s">
        <v>14</v>
      </c>
      <c r="B9" s="5">
        <f>6000/12</f>
        <v>500</v>
      </c>
      <c r="C9" t="s">
        <v>15</v>
      </c>
      <c r="D9" s="5">
        <v>636.83000000000004</v>
      </c>
    </row>
    <row r="10" spans="1:6" x14ac:dyDescent="0.25">
      <c r="A10" s="4" t="s">
        <v>16</v>
      </c>
      <c r="B10" s="5">
        <v>100</v>
      </c>
      <c r="C10" t="s">
        <v>19</v>
      </c>
      <c r="D10" s="5">
        <f>(B8+B9)*1%</f>
        <v>31</v>
      </c>
    </row>
    <row r="11" spans="1:6" x14ac:dyDescent="0.25">
      <c r="A11" s="4" t="s">
        <v>17</v>
      </c>
      <c r="B11" s="5">
        <v>70</v>
      </c>
      <c r="C11" t="s">
        <v>20</v>
      </c>
      <c r="D11" s="5">
        <v>630</v>
      </c>
    </row>
    <row r="12" spans="1:6" x14ac:dyDescent="0.25">
      <c r="A12" s="3" t="s">
        <v>18</v>
      </c>
      <c r="B12" s="5">
        <f>SUM(B8:B11)</f>
        <v>3270</v>
      </c>
      <c r="C12" s="3" t="s">
        <v>21</v>
      </c>
      <c r="D12" s="5">
        <f>SUM(D8:D11)</f>
        <v>1505.83</v>
      </c>
    </row>
    <row r="13" spans="1:6" x14ac:dyDescent="0.25">
      <c r="A13" s="3" t="s">
        <v>22</v>
      </c>
      <c r="B13" s="5">
        <f>B12-D12</f>
        <v>1764.17</v>
      </c>
    </row>
  </sheetData>
  <mergeCells count="1">
    <mergeCell ref="A1:F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horizontalDpi="4294967293" r:id="rId1"/>
  <headerFooter scaleWithDoc="0">
    <oddFooter>&amp;LAli Saqualin&amp;CCAMS1P01&amp;RProblem 3</oddFooter>
  </headerFooter>
  <ignoredErrors>
    <ignoredError sqref="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Ahmad</dc:creator>
  <cp:lastModifiedBy>HP</cp:lastModifiedBy>
  <cp:lastPrinted>2026-08-08T09:53:01Z</cp:lastPrinted>
  <dcterms:created xsi:type="dcterms:W3CDTF">2026-08-08T09:16:44Z</dcterms:created>
  <dcterms:modified xsi:type="dcterms:W3CDTF">2026-08-11T07:53:37Z</dcterms:modified>
</cp:coreProperties>
</file>