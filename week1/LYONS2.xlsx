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Saqulainmmca1\"/>
    </mc:Choice>
  </mc:AlternateContent>
  <xr:revisionPtr revIDLastSave="0" documentId="13_ncr:1_{06593ACC-5E44-4BAF-85C6-A6D841277A71}" xr6:coauthVersionLast="47" xr6:coauthVersionMax="47" xr10:uidLastSave="{00000000-0000-0000-0000-000000000000}"/>
  <bookViews>
    <workbookView xWindow="-120" yWindow="-120" windowWidth="29040" windowHeight="15720" xr2:uid="{C8F07F65-70ED-4332-8EC2-5C1107AED982}"/>
  </bookViews>
  <sheets>
    <sheet name="LYSON2" sheetId="1" r:id="rId1"/>
    <sheet name="FORMU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G5" i="1"/>
  <c r="G6" i="1"/>
  <c r="G7" i="1"/>
  <c r="G8" i="1"/>
  <c r="F5" i="1"/>
  <c r="F6" i="1"/>
  <c r="F7" i="1"/>
  <c r="F8" i="1"/>
  <c r="D5" i="1"/>
  <c r="D6" i="1"/>
  <c r="D7" i="1"/>
  <c r="D8" i="1"/>
  <c r="C5" i="1"/>
  <c r="C6" i="1"/>
  <c r="C7" i="1"/>
  <c r="C8" i="1"/>
  <c r="C4" i="1"/>
  <c r="D4" i="1" s="1"/>
  <c r="D12" i="1" l="1"/>
  <c r="D10" i="1"/>
  <c r="D9" i="1"/>
  <c r="D11" i="1" s="1"/>
  <c r="F4" i="1"/>
  <c r="F9" i="1" l="1"/>
  <c r="F12" i="1" s="1"/>
  <c r="F11" i="1"/>
  <c r="F10" i="1"/>
  <c r="G4" i="1"/>
  <c r="G9" i="1" l="1"/>
  <c r="G12" i="1"/>
  <c r="G10" i="1"/>
  <c r="G11" i="1"/>
</calcChain>
</file>

<file path=xl/sharedStrings.xml><?xml version="1.0" encoding="utf-8"?>
<sst xmlns="http://schemas.openxmlformats.org/spreadsheetml/2006/main" count="36" uniqueCount="36">
  <si>
    <t>LYONS INC – Orange JUICE Sales</t>
  </si>
  <si>
    <t>MARKUP%</t>
  </si>
  <si>
    <t>PRODUCT</t>
  </si>
  <si>
    <t>COST PRICE PER LITRE</t>
  </si>
  <si>
    <t>MARKUP PER ITEM 35%</t>
  </si>
  <si>
    <t>SELLING PRICE</t>
  </si>
  <si>
    <t>LITRES SOLD</t>
  </si>
  <si>
    <t>TOTAL INCOME</t>
  </si>
  <si>
    <t>PROFITE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</si>
  <si>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</si>
  <si>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</si>
  <si>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</si>
  <si>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</si>
  <si>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</si>
  <si>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</si>
  <si>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</si>
  <si>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</si>
  <si>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AVERAGE</t>
  </si>
  <si>
    <t>Descriptions</t>
  </si>
  <si>
    <t>Formula</t>
  </si>
  <si>
    <t>Mark Up</t>
  </si>
  <si>
    <t>=B5*$B$2</t>
  </si>
  <si>
    <t>Selling Price</t>
  </si>
  <si>
    <t>=B5+C5</t>
  </si>
  <si>
    <t>Total Income</t>
  </si>
  <si>
    <t>=E5*D5</t>
  </si>
  <si>
    <t>Profit</t>
  </si>
  <si>
    <t>=F5-(B5*E5)</t>
  </si>
  <si>
    <t>Total Selling Price</t>
  </si>
  <si>
    <t>=SUM(D5:D9)</t>
  </si>
  <si>
    <t>Highest</t>
  </si>
  <si>
    <t>=MAX(D5:D9)</t>
  </si>
  <si>
    <t>Lowest</t>
  </si>
  <si>
    <t>=MIN(D5:D9)</t>
  </si>
  <si>
    <t>Average</t>
  </si>
  <si>
    <t>=AVERAGE(D5:D9)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</si>
</sst>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0" fontId="3" fillId="0" borderId="0" xfId="0" applyFont="1"/>
    <xf numFmtId="0" fontId="4" fillId="0" borderId="0" xfId="0" applyFont="1" applyAlignment="1">
      <alignment horizontal="center"/>
    </xf>
    <xf numFmtId="9" fontId="3" fillId="0" borderId="0" xfId="0" applyNumberFormat="1" applyFont="1"/>
    <xf numFmtId="2" fontId="0" fillId="0" borderId="1" xfId="0" applyNumberFormat="1" applyBorder="1"/>
    <xf numFmtId="2" fontId="2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LYSON2!$A$4:$A$8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LYSON2!$B$4:$B$8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C-4748-A0FC-2EFB80D0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279255</xdr:colOff>
      <xdr:row>2</xdr:row>
      <xdr:rowOff>116897</xdr:rowOff>
    </xdr:from>
    <xdr:to>
      <xdr:col>12</xdr:col>
      <xdr:colOff>164522</xdr:colOff>
      <xdr:row>11</xdr:row>
      <xdr:rowOff>135514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7230D-4379-8D9D-371C-66E9FC216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8F40-1F44-4049-BF13-7D14570DE2AF}">
  <dimension ref="A1:G13"/>
  <sheetViews>
    <sheetView tabSelected="1" topLeftCell="C1" zoomScale="220" zoomScaleNormal="220" workbookViewId="0">
      <selection activeCell="I14" sqref="I14"/>
    </sheetView>
  </sheetViews>
  <sheetFormatPr defaultRowHeight="11.25" x14ac:dyDescent="0.2"/>
  <cols>
    <col min="1" max="1" width="12.140625" style="2" bestFit="1" customWidth="1"/>
    <col min="2" max="2" width="20" style="2" bestFit="1" customWidth="1"/>
    <col min="3" max="3" width="21.5703125" style="2" bestFit="1" customWidth="1"/>
    <col min="4" max="4" width="13.5703125" style="2" bestFit="1" customWidth="1"/>
    <col min="5" max="5" width="11.5703125" style="2" bestFit="1" customWidth="1"/>
    <col min="6" max="6" width="14.42578125" style="2" bestFit="1" customWidth="1"/>
    <col min="7" max="16384" width="9.140625" style="2"/>
  </cols>
  <sheetData>
    <row r="1" spans="1:7" x14ac:dyDescent="0.2">
      <c r="A1" s="8" t="s">
        <v>0</v>
      </c>
      <c r="B1" s="1"/>
      <c r="C1" s="1"/>
      <c r="D1" s="1"/>
      <c r="E1" s="1"/>
      <c r="F1" s="1"/>
    </row>
    <row r="2" spans="1:7" x14ac:dyDescent="0.2">
      <c r="A2" s="7" t="s">
        <v>1</v>
      </c>
      <c r="B2" s="9">
        <v>0.35</v>
      </c>
      <c r="C2" s="7"/>
    </row>
    <row r="3" spans="1:7" x14ac:dyDescent="0.2">
      <c r="A3" s="3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15" x14ac:dyDescent="0.25">
      <c r="A4" s="4" t="s">
        <v>9</v>
      </c>
      <c r="B4" s="10">
        <v>3.75</v>
      </c>
      <c r="C4" s="2">
        <f>B4*$B$2</f>
        <v>1.3125</v>
      </c>
      <c r="D4" s="11">
        <f>B4+C4</f>
        <v>5.0625</v>
      </c>
      <c r="E4" s="6">
        <v>234</v>
      </c>
      <c r="F4" s="2">
        <f>E4*D4</f>
        <v>1184.625</v>
      </c>
      <c r="G4" s="2">
        <f>F4-(B4*E4)</f>
        <v>307.125</v>
      </c>
    </row>
    <row r="5" spans="1:7" ht="15" x14ac:dyDescent="0.25">
      <c r="A5" s="4" t="s">
        <v>10</v>
      </c>
      <c r="B5" s="10">
        <v>3.65</v>
      </c>
      <c r="C5" s="2">
        <f t="shared" ref="C5:C8" si="0">B5*$B$2</f>
        <v>1.2774999999999999</v>
      </c>
      <c r="D5" s="11">
        <f t="shared" ref="D5:D8" si="1">B5+C5</f>
        <v>4.9275000000000002</v>
      </c>
      <c r="E5" s="6">
        <v>345</v>
      </c>
      <c r="F5" s="2">
        <f t="shared" ref="F5:F8" si="2">E5*D5</f>
        <v>1699.9875000000002</v>
      </c>
      <c r="G5" s="2">
        <f t="shared" ref="G5:G8" si="3">F5-(B5*E5)</f>
        <v>440.73750000000018</v>
      </c>
    </row>
    <row r="6" spans="1:7" ht="15" x14ac:dyDescent="0.25">
      <c r="A6" s="4" t="s">
        <v>11</v>
      </c>
      <c r="B6" s="10">
        <v>4.25</v>
      </c>
      <c r="C6" s="2">
        <f t="shared" si="0"/>
        <v>1.4874999999999998</v>
      </c>
      <c r="D6" s="11">
        <f t="shared" si="1"/>
        <v>5.7374999999999998</v>
      </c>
      <c r="E6" s="6">
        <v>456</v>
      </c>
      <c r="F6" s="2">
        <f t="shared" si="2"/>
        <v>2616.2999999999997</v>
      </c>
      <c r="G6" s="2">
        <f t="shared" si="3"/>
        <v>678.29999999999973</v>
      </c>
    </row>
    <row r="7" spans="1:7" ht="15" x14ac:dyDescent="0.25">
      <c r="A7" s="4" t="s">
        <v>12</v>
      </c>
      <c r="B7" s="10">
        <v>1.5</v>
      </c>
      <c r="C7" s="2">
        <f t="shared" si="0"/>
        <v>0.52499999999999991</v>
      </c>
      <c r="D7" s="11">
        <f t="shared" si="1"/>
        <v>2.0249999999999999</v>
      </c>
      <c r="E7" s="6">
        <v>123</v>
      </c>
      <c r="F7" s="2">
        <f t="shared" si="2"/>
        <v>249.07499999999999</v>
      </c>
      <c r="G7" s="2">
        <f t="shared" si="3"/>
        <v>64.574999999999989</v>
      </c>
    </row>
    <row r="8" spans="1:7" ht="15" x14ac:dyDescent="0.25">
      <c r="A8" s="4" t="s">
        <v>13</v>
      </c>
      <c r="B8" s="10">
        <v>1.5</v>
      </c>
      <c r="C8" s="2">
        <f t="shared" si="0"/>
        <v>0.52499999999999991</v>
      </c>
      <c r="D8" s="11">
        <f t="shared" si="1"/>
        <v>2.0249999999999999</v>
      </c>
      <c r="E8" s="6">
        <v>245</v>
      </c>
      <c r="F8" s="2">
        <f t="shared" si="2"/>
        <v>496.125</v>
      </c>
      <c r="G8" s="2">
        <f t="shared" si="3"/>
        <v>128.625</v>
      </c>
    </row>
    <row r="9" spans="1:7" ht="15" x14ac:dyDescent="0.25">
      <c r="A9" s="5" t="s">
        <v>14</v>
      </c>
      <c r="D9" s="12">
        <f>SUM(D4:D8)</f>
        <v>19.777499999999996</v>
      </c>
      <c r="E9" s="7"/>
      <c r="F9" s="7">
        <f>SUM(F4:F8)</f>
        <v>6246.1125000000002</v>
      </c>
      <c r="G9" s="7">
        <f>SUM(G4:G8)</f>
        <v>1619.3625</v>
      </c>
    </row>
    <row r="10" spans="1:7" ht="15" x14ac:dyDescent="0.25">
      <c r="A10" s="5" t="s">
        <v>15</v>
      </c>
      <c r="D10" s="12">
        <f>MAX(D4:D8)</f>
        <v>5.7374999999999998</v>
      </c>
      <c r="E10" s="13">
        <f>MAX(E4:E8)</f>
        <v>456</v>
      </c>
      <c r="F10" s="7">
        <f>MAX(F4:F8)</f>
        <v>2616.2999999999997</v>
      </c>
      <c r="G10" s="7">
        <f>MAX(G4:G8)</f>
        <v>678.29999999999973</v>
      </c>
    </row>
    <row r="11" spans="1:7" ht="15" x14ac:dyDescent="0.25">
      <c r="A11" s="5" t="s">
        <v>16</v>
      </c>
      <c r="D11" s="12">
        <f>MIN(D4:D9)</f>
        <v>2.0249999999999999</v>
      </c>
      <c r="E11" s="13">
        <f>MIN(E4:E8)</f>
        <v>123</v>
      </c>
      <c r="F11" s="7">
        <f>MIN(F4:F8)</f>
        <v>249.07499999999999</v>
      </c>
      <c r="G11" s="7">
        <f>MIN(G4:G8)</f>
        <v>64.574999999999989</v>
      </c>
    </row>
    <row r="12" spans="1:7" ht="15" x14ac:dyDescent="0.25">
      <c r="A12" s="5" t="s">
        <v>17</v>
      </c>
      <c r="D12" s="12">
        <f>AVERAGE(D4:D8)</f>
        <v>3.9554999999999993</v>
      </c>
      <c r="E12" s="13">
        <f>AVERAGE(E4:E8)</f>
        <v>280.60000000000002</v>
      </c>
      <c r="F12" s="7">
        <f>AVERAGE(F4:F9)</f>
        <v>2082.0374999999999</v>
      </c>
      <c r="G12" s="7">
        <f>AVERAGE(G4:G8)</f>
        <v>323.8725</v>
      </c>
    </row>
    <row r="13" spans="1:7" x14ac:dyDescent="0.2">
      <c r="D13" s="7"/>
      <c r="E13" s="7"/>
      <c r="F13" s="7"/>
      <c r="G13" s="7"/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9334-43B7-4F04-8F8F-3BDD33016B42}">
  <dimension ref="A1:B9"/>
  <sheetViews>
    <sheetView zoomScale="250" zoomScaleNormal="250" workbookViewId="0">
      <selection activeCell="A6" sqref="A6"/>
    </sheetView>
  </sheetViews>
  <sheetFormatPr defaultRowHeight="15" x14ac:dyDescent="0.25"/>
  <cols>
    <col min="1" max="1" width="16.85546875" bestFit="1" customWidth="1"/>
    <col min="2" max="2" width="19.5703125" bestFit="1" customWidth="1"/>
  </cols>
  <sheetData>
    <row r="1" spans="1:2" ht="18.75" x14ac:dyDescent="0.3">
      <c r="A1" s="14" t="s">
        <v>18</v>
      </c>
      <c r="B1" s="14" t="s">
        <v>19</v>
      </c>
    </row>
    <row r="2" spans="1:2" x14ac:dyDescent="0.25">
      <c r="A2" s="15" t="s">
        <v>20</v>
      </c>
      <c r="B2" s="16" t="s">
        <v>21</v>
      </c>
    </row>
    <row r="3" spans="1:2" x14ac:dyDescent="0.25">
      <c r="A3" s="15" t="s">
        <v>22</v>
      </c>
      <c r="B3" s="16" t="s">
        <v>23</v>
      </c>
    </row>
    <row r="4" spans="1:2" x14ac:dyDescent="0.25">
      <c r="A4" s="15" t="s">
        <v>24</v>
      </c>
      <c r="B4" s="16" t="s">
        <v>25</v>
      </c>
    </row>
    <row r="5" spans="1:2" x14ac:dyDescent="0.25">
      <c r="A5" s="15" t="s">
        <v>26</v>
      </c>
      <c r="B5" s="16" t="s">
        <v>27</v>
      </c>
    </row>
    <row r="6" spans="1:2" x14ac:dyDescent="0.25">
      <c r="A6" t="s">
        <v>28</v>
      </c>
      <c r="B6" s="16" t="s">
        <v>29</v>
      </c>
    </row>
    <row r="7" spans="1:2" x14ac:dyDescent="0.25">
      <c r="A7" s="15" t="s">
        <v>30</v>
      </c>
      <c r="B7" s="16" t="s">
        <v>31</v>
      </c>
    </row>
    <row r="8" spans="1:2" x14ac:dyDescent="0.25">
      <c r="A8" s="15" t="s">
        <v>32</v>
      </c>
      <c r="B8" s="16" t="s">
        <v>33</v>
      </c>
    </row>
    <row r="9" spans="1:2" x14ac:dyDescent="0.25">
      <c r="A9" s="15" t="s">
        <v>34</v>
      </c>
      <c r="B9" s="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LYSON2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2026-08-12T06:22:26Z</dcterms:created>
  <dcterms:modified xsi:type="dcterms:W3CDTF">2026-08-12T06:46:04Z</dcterms:modified>
</cp:coreProperties>
</file>